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Merit Increase" sheetId="3" state="visible" r:id="rId3"/>
    <sheet xmlns:r="http://schemas.openxmlformats.org/officeDocument/2006/relationships" name="Departed Staff Impact" sheetId="4" state="visible" r:id="rId4"/>
  </sheets>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
    <numFmt numFmtId="167" formatCode="0.00&quot;x&quot;"/>
  </numFmts>
  <fonts count="7">
    <font>
      <name val="Calibri"/>
      <family val="2"/>
      <color theme="1"/>
      <sz val="11"/>
      <scheme val="minor"/>
    </font>
    <font>
      <b val="1"/>
      <color rgb="001F4E78"/>
      <sz val="14"/>
    </font>
    <font>
      <i val="1"/>
      <color rgb="00595959"/>
      <sz val="10"/>
    </font>
    <font>
      <b val="1"/>
    </font>
    <font>
      <b val="1"/>
      <color rgb="00FFFFFF"/>
      <sz val="11"/>
    </font>
    <font>
      <i val="1"/>
      <color rgb="00595959"/>
      <sz val="9"/>
    </font>
    <font>
      <b val="1"/>
      <color rgb="00C00000"/>
      <sz val="12"/>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0" fillId="0" borderId="1" pivotButton="0" quotePrefix="0" xfId="0"/>
    <xf numFmtId="166" fontId="0" fillId="0" borderId="1" pivotButton="0" quotePrefix="0" xfId="0"/>
    <xf numFmtId="0" fontId="3" fillId="3" borderId="1" pivotButton="0" quotePrefix="0" xfId="0"/>
    <xf numFmtId="166" fontId="6" fillId="3" borderId="1" pivotButton="0" quotePrefix="0" xfId="0"/>
    <xf numFmtId="0" fontId="3" fillId="0" borderId="0" pivotButton="0" quotePrefix="0" xfId="0"/>
    <xf numFmtId="167" fontId="0" fillId="0" borderId="0" pivotButton="0" quotePrefix="0" xfId="0"/>
    <xf numFmtId="0" fontId="0" fillId="0" borderId="0" applyAlignment="1" pivotButton="0" quotePrefix="0" xfId="0">
      <alignment wrapText="1"/>
    </xf>
    <xf numFmtId="0" fontId="5" fillId="0" borderId="0" pivotButton="0" quotePrefix="0" xfId="0"/>
    <xf numFmtId="164" fontId="0" fillId="0" borderId="1" pivotButton="0" quotePrefix="0" xfId="0"/>
    <xf numFmtId="165" fontId="0" fillId="0" borderId="1" pivotButton="0" quotePrefix="0" xfId="0"/>
    <xf numFmtId="0" fontId="0" fillId="0" borderId="1" applyAlignment="1" pivotButton="0" quotePrefix="0" xfId="0">
      <alignment wrapText="1"/>
    </xf>
    <xf numFmtId="0" fontId="0" fillId="3" borderId="1" pivotButton="0" quotePrefix="0" xfId="0"/>
    <xf numFmtId="166"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5" customWidth="1" min="1" max="1"/>
    <col width="20" customWidth="1" min="2" max="2"/>
    <col width="14" customWidth="1" min="3" max="3"/>
    <col width="14" customWidth="1" min="4" max="4"/>
  </cols>
  <sheetData>
    <row r="1">
      <c r="A1" s="1" t="inlineStr">
        <is>
          <t>CHAMP Budget Impact Summary — Merit Increases vs. Unreplaced Departures</t>
        </is>
      </c>
    </row>
    <row r="2">
      <c r="A2" s="2" t="inlineStr">
        <is>
          <t>High-level exercise for conversation with Jenna — assumptions may change</t>
        </is>
      </c>
    </row>
    <row r="4">
      <c r="A4" s="3" t="inlineStr">
        <is>
          <t>Line Item</t>
        </is>
      </c>
      <c r="B4" s="3" t="inlineStr">
        <is>
          <t>Annual Amount</t>
        </is>
      </c>
    </row>
    <row r="5">
      <c r="A5" s="4" t="inlineStr">
        <is>
          <t>Combined Merit Increase (required 2% + optional 1.5%)</t>
        </is>
      </c>
      <c r="B5" s="5">
        <f>'Merit Increase'!$C$7</f>
        <v/>
      </c>
    </row>
    <row r="6">
      <c r="A6" s="4" t="inlineStr">
        <is>
          <t>Loaded Cost of 4 Unreplaced Departures</t>
        </is>
      </c>
      <c r="B6" s="5">
        <f>'Departed Staff Impact'!$F$9</f>
        <v/>
      </c>
    </row>
    <row r="7">
      <c r="A7" s="6" t="inlineStr">
        <is>
          <t>NET CHANGE TO ANTICIPATED LOADED CHAMP COST</t>
        </is>
      </c>
      <c r="B7" s="7">
        <f>B5-B6</f>
        <v/>
      </c>
    </row>
    <row r="9">
      <c r="A9" s="8" t="inlineStr">
        <is>
          <t>Departures as multiple of merit cost:</t>
        </is>
      </c>
      <c r="B9" s="9">
        <f>B6/B5</f>
        <v/>
      </c>
    </row>
    <row r="11">
      <c r="A11" s="8" t="inlineStr">
        <is>
          <t>Bottom line:</t>
        </is>
      </c>
    </row>
    <row r="12" ht="45" customHeight="1">
      <c r="A12" s="10" t="inlineStr">
        <is>
          <t>Even funding the full merit package, total anticipated loaded CHAMP cost is projected to come in well below original budget, since the four unreplaced departures' loaded cost is several times larger than the combined merit increase. There is substantial room to absorb both merit increases without exceeding the original CHAMP cost envelope.</t>
        </is>
      </c>
    </row>
    <row r="14">
      <c r="A14" s="8" t="inlineStr">
        <is>
          <t>Caveats:</t>
        </is>
      </c>
    </row>
    <row r="15">
      <c r="A15" s="11" t="inlineStr">
        <is>
          <t>- Simplified exercise: straight full-year salaries, no partial-year proration for actual departure timing.</t>
        </is>
      </c>
    </row>
    <row r="16">
      <c r="A16" s="11" t="inlineStr">
        <is>
          <t>- All 4 departed staff modeled at 100% FEMA/Federal F&amp;A rate rather than their actual historical grant mix.</t>
        </is>
      </c>
    </row>
    <row r="17">
      <c r="A17" s="11" t="inlineStr">
        <is>
          <t>- Merit figure uses the more precise effort-weighted methodology from the 7/13 report (as-given); departure</t>
        </is>
      </c>
    </row>
    <row r="18">
      <c r="A18" s="11" t="inlineStr">
        <is>
          <t xml:space="preserve">  figure uses the simplified flat-rate methodology — the two are not computed on identical bases.</t>
        </is>
      </c>
    </row>
    <row r="19">
      <c r="A19" s="11" t="inlineStr">
        <is>
          <t>- See Assumptions tab for full detail.</t>
        </is>
      </c>
    </row>
  </sheetData>
  <mergeCells count="8">
    <mergeCell ref="A1:C1"/>
    <mergeCell ref="A16:E16"/>
    <mergeCell ref="A12:D12"/>
    <mergeCell ref="A15:E15"/>
    <mergeCell ref="A19:E19"/>
    <mergeCell ref="A17:E17"/>
    <mergeCell ref="A18:E18"/>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70" customWidth="1" min="3" max="3"/>
  </cols>
  <sheetData>
    <row r="1">
      <c r="A1" s="1" t="inlineStr">
        <is>
          <t>CHAMP Merit Impact vs. Departures — Working Assumptions</t>
        </is>
      </c>
    </row>
    <row r="2">
      <c r="A2" s="2" t="inlineStr">
        <is>
          <t>High-level exercise for Jenna conversation — criteria may change later</t>
        </is>
      </c>
    </row>
    <row r="3">
      <c r="A3" s="3" t="inlineStr">
        <is>
          <t>Label</t>
        </is>
      </c>
      <c r="B3" s="3" t="inlineStr">
        <is>
          <t>Value</t>
        </is>
      </c>
      <c r="C3" s="3" t="inlineStr">
        <is>
          <t>Notes</t>
        </is>
      </c>
    </row>
    <row r="4">
      <c r="A4" s="4" t="inlineStr">
        <is>
          <t>SURS Fringe Rate</t>
        </is>
      </c>
      <c r="B4" s="12" t="n">
        <v>0.451</v>
      </c>
      <c r="C4" s="4" t="inlineStr">
        <is>
          <t>Academic Professional / SURS-eligible staff</t>
        </is>
      </c>
    </row>
    <row r="5">
      <c r="A5" s="4" t="inlineStr">
        <is>
          <t>F&amp;A Rate (FEMA/Federal, MTDC)</t>
        </is>
      </c>
      <c r="B5" s="12" t="n">
        <v>0.317</v>
      </c>
      <c r="C5" s="4" t="inlineStr">
        <is>
          <t>Assumed for ALL staff in this exercise, per Glenn's 7/15 simplification</t>
        </is>
      </c>
    </row>
    <row r="6">
      <c r="A6" s="4" t="inlineStr">
        <is>
          <t>Loaded Cost Multiplier</t>
        </is>
      </c>
      <c r="B6" s="13">
        <f>(1+B4)*(1+B5)</f>
        <v/>
      </c>
      <c r="C6" s="4" t="inlineStr">
        <is>
          <t>(1 + Fringe) x (1 + F&amp;A) — used throughout</t>
        </is>
      </c>
    </row>
    <row r="9">
      <c r="A9" s="8" t="inlineStr">
        <is>
          <t>Scope Notes</t>
        </is>
      </c>
    </row>
    <row r="10">
      <c r="A10" s="11" t="inlineStr">
        <is>
          <t>- Straight full-year salaries used (no per-project/effort proration) per Glenn's 7/15 instruction.</t>
        </is>
      </c>
    </row>
    <row r="11">
      <c r="A11" s="11" t="inlineStr">
        <is>
          <t>- All CHAMP staff assumed on FEMA/Federal grants for F&amp;A purposes (simplification for this exercise).</t>
        </is>
      </c>
    </row>
    <row r="12">
      <c r="A12" s="11" t="inlineStr">
        <is>
          <t>- Merit increase figures (2% + optional 1.5%) are taken as-given from CHAMP_Merit_Impact_AllStaff_2026-07-13.pdf,</t>
        </is>
      </c>
    </row>
    <row r="13">
      <c r="A13" s="11" t="inlineStr">
        <is>
          <t xml:space="preserve">  which used effort-weighted, grant-specific loading (a more precise methodology than this sheet's departure calc).</t>
        </is>
      </c>
    </row>
    <row r="14">
      <c r="A14" s="11" t="inlineStr">
        <is>
          <t>- Departed-staff loaded costs on this sheet use the simplified flat-rate method above, NOT the effort-weighted</t>
        </is>
      </c>
    </row>
    <row r="15">
      <c r="A15" s="11" t="inlineStr">
        <is>
          <t xml:space="preserve">  method from the 7/13 document. Treat as directionally reliable, not a formal budget reconciliation.</t>
        </is>
      </c>
    </row>
    <row r="16">
      <c r="A16" s="11" t="inlineStr">
        <is>
          <t>- Departure dates and last-known annual salaries pulled from CHAMP-PM D1 production database, 2026-07-15.</t>
        </is>
      </c>
    </row>
  </sheetData>
  <mergeCells count="9">
    <mergeCell ref="A16:F16"/>
    <mergeCell ref="A11:F11"/>
    <mergeCell ref="A10:F10"/>
    <mergeCell ref="A1:C1"/>
    <mergeCell ref="A13:F13"/>
    <mergeCell ref="A14:F14"/>
    <mergeCell ref="A12:F12"/>
    <mergeCell ref="A15:F15"/>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2" customWidth="1" min="1" max="1"/>
    <col width="60" customWidth="1" min="2" max="2"/>
    <col width="22" customWidth="1" min="3" max="3"/>
  </cols>
  <sheetData>
    <row r="1">
      <c r="A1" s="1" t="inlineStr">
        <is>
          <t>Merit Increase Cost — per CHAMP_Merit_Impact_AllStaff_2026-07-13.pdf</t>
        </is>
      </c>
    </row>
    <row r="2">
      <c r="A2" s="2" t="inlineStr">
        <is>
          <t>Effort-weighted, grant-specific loading (actual methodology from source doc — taken as-given here)</t>
        </is>
      </c>
    </row>
    <row r="4">
      <c r="A4" s="3" t="inlineStr">
        <is>
          <t>Component</t>
        </is>
      </c>
      <c r="B4" s="3" t="inlineStr">
        <is>
          <t>Scope</t>
        </is>
      </c>
      <c r="C4" s="3" t="inlineStr">
        <is>
          <t>Annualized Loaded Cost</t>
        </is>
      </c>
    </row>
    <row r="5">
      <c r="A5" s="4" t="inlineStr">
        <is>
          <t>Required 2% across-the-board</t>
        </is>
      </c>
      <c r="B5" s="14" t="inlineStr">
        <is>
          <t>All 26 active CHAMP staff</t>
        </is>
      </c>
      <c r="C5" s="5" t="n">
        <v>69382.32000000001</v>
      </c>
    </row>
    <row r="6" ht="30" customHeight="1">
      <c r="A6" s="4" t="inlineStr">
        <is>
          <t>Optional 1.5% additional</t>
        </is>
      </c>
      <c r="B6" s="14" t="inlineStr">
        <is>
          <t>10 named staff (Marni, Sarah, Matthew, Arpita, Brad, Sabin, Nazmul, Caitlin, Tanner, Lena) — grant-funded, no GRF offset</t>
        </is>
      </c>
      <c r="C6" s="5" t="n">
        <v>18691.79</v>
      </c>
    </row>
    <row r="7">
      <c r="A7" s="6" t="inlineStr">
        <is>
          <t>TOTAL COMBINED MERIT INCREASE</t>
        </is>
      </c>
      <c r="B7" s="15" t="n"/>
      <c r="C7" s="16">
        <f>SUM(C5:C6)</f>
        <v/>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0" customWidth="1" min="1" max="1"/>
    <col width="16" customWidth="1" min="2" max="2"/>
    <col width="16" customWidth="1" min="3" max="3"/>
    <col width="16" customWidth="1" min="4" max="4"/>
    <col width="20" customWidth="1" min="5" max="5"/>
    <col width="20" customWidth="1" min="6" max="6"/>
  </cols>
  <sheetData>
    <row r="1">
      <c r="A1" s="1" t="inlineStr">
        <is>
          <t>Departed Staff — Unreplaced Loaded Cost (last 12 months)</t>
        </is>
      </c>
    </row>
    <row r="2">
      <c r="A2" s="2" t="inlineStr">
        <is>
          <t>Simplified: straight full-year salary, flat SURS fringe + FEMA F&amp;A rate applied to all staff</t>
        </is>
      </c>
    </row>
    <row r="4">
      <c r="A4" s="3" t="inlineStr">
        <is>
          <t>Employee</t>
        </is>
      </c>
      <c r="B4" s="3" t="inlineStr">
        <is>
          <t>Departure Date</t>
        </is>
      </c>
      <c r="C4" s="3" t="inlineStr">
        <is>
          <t>Annual Salary</t>
        </is>
      </c>
      <c r="D4" s="3" t="inlineStr">
        <is>
          <t>Fringe Amount</t>
        </is>
      </c>
      <c r="E4" s="3" t="inlineStr">
        <is>
          <t>MTDC (Salary+Fringe)</t>
        </is>
      </c>
      <c r="F4" s="3" t="inlineStr">
        <is>
          <t>Loaded Cost (incl. F&amp;A)</t>
        </is>
      </c>
    </row>
    <row r="5">
      <c r="A5" s="4" t="inlineStr">
        <is>
          <t>Diana Davisson</t>
        </is>
      </c>
      <c r="B5" s="4" t="inlineStr">
        <is>
          <t>2026-04-30</t>
        </is>
      </c>
      <c r="C5" s="5" t="n">
        <v>111151</v>
      </c>
      <c r="D5" s="5">
        <f>C5*Assumptions!$B$4</f>
        <v/>
      </c>
      <c r="E5" s="5">
        <f>C5+D5</f>
        <v/>
      </c>
      <c r="F5" s="5">
        <f>E5*(1+Assumptions!$B$5)</f>
        <v/>
      </c>
    </row>
    <row r="6">
      <c r="A6" s="4" t="inlineStr">
        <is>
          <t>Dawn Cosentino</t>
        </is>
      </c>
      <c r="B6" s="4" t="inlineStr">
        <is>
          <t>2025-12-16</t>
        </is>
      </c>
      <c r="C6" s="5" t="n">
        <v>90923.44</v>
      </c>
      <c r="D6" s="5">
        <f>C6*Assumptions!$B$4</f>
        <v/>
      </c>
      <c r="E6" s="5">
        <f>C6+D6</f>
        <v/>
      </c>
      <c r="F6" s="5">
        <f>E6*(1+Assumptions!$B$5)</f>
        <v/>
      </c>
    </row>
    <row r="7">
      <c r="A7" s="4" t="inlineStr">
        <is>
          <t>Love Kumar</t>
        </is>
      </c>
      <c r="B7" s="4" t="inlineStr">
        <is>
          <t>2026-03-19</t>
        </is>
      </c>
      <c r="C7" s="5" t="n">
        <v>72000</v>
      </c>
      <c r="D7" s="5">
        <f>C7*Assumptions!$B$4</f>
        <v/>
      </c>
      <c r="E7" s="5">
        <f>C7+D7</f>
        <v/>
      </c>
      <c r="F7" s="5">
        <f>E7*(1+Assumptions!$B$5)</f>
        <v/>
      </c>
    </row>
    <row r="8">
      <c r="A8" s="4" t="inlineStr">
        <is>
          <t>Mary Richardson</t>
        </is>
      </c>
      <c r="B8" s="4" t="inlineStr">
        <is>
          <t>2026-04-30</t>
        </is>
      </c>
      <c r="C8" s="5" t="n">
        <v>72114</v>
      </c>
      <c r="D8" s="5">
        <f>C8*Assumptions!$B$4</f>
        <v/>
      </c>
      <c r="E8" s="5">
        <f>C8+D8</f>
        <v/>
      </c>
      <c r="F8" s="5">
        <f>E8*(1+Assumptions!$B$5)</f>
        <v/>
      </c>
    </row>
    <row r="9">
      <c r="A9" s="6" t="inlineStr">
        <is>
          <t>TOTAL</t>
        </is>
      </c>
      <c r="B9" s="15" t="n"/>
      <c r="C9" s="16">
        <f>SUM(C5:C8)</f>
        <v/>
      </c>
      <c r="D9" s="16">
        <f>SUM(D5:D8)</f>
        <v/>
      </c>
      <c r="E9" s="16">
        <f>SUM(E5:E8)</f>
        <v/>
      </c>
      <c r="F9" s="16">
        <f>SUM(F5:F8)</f>
        <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2026-07-15T16:24:10Z</dcterms:created>
  <dcterms:modified xmlns:dcterms="http://purl.org/dc/terms/" xmlns:xsi="http://www.w3.org/2001/XMLSchema-instance" xsi:type="dcterms:W3CDTF">2026-07-15T16:24:10Z</dcterms:modified>
</cp:coreProperties>
</file>